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" sheetId="1" r:id="rId5"/>
    <sheet state="visible" name="Dropout" sheetId="2" r:id="rId6"/>
    <sheet state="visible" name="Drift" sheetId="3" r:id="rId7"/>
    <sheet state="visible" name="Stochastic" sheetId="4" r:id="rId8"/>
    <sheet state="visible" name="Bias" sheetId="5" r:id="rId9"/>
    <sheet state="visible" name="Gain (attenuation&lt;1)" sheetId="6" r:id="rId10"/>
    <sheet state="visible" name="Gain (attenuation&gt;1)" sheetId="7" r:id="rId11"/>
    <sheet state="visible" name="Resolution" sheetId="8" r:id="rId12"/>
  </sheets>
  <definedNames/>
  <calcPr/>
</workbook>
</file>

<file path=xl/sharedStrings.xml><?xml version="1.0" encoding="utf-8"?>
<sst xmlns="http://schemas.openxmlformats.org/spreadsheetml/2006/main" count="217" uniqueCount="11">
  <si>
    <t>KNN</t>
  </si>
  <si>
    <t>Logistic</t>
  </si>
  <si>
    <t>SVM</t>
  </si>
  <si>
    <t>LSTM</t>
  </si>
  <si>
    <t>Accuracy</t>
  </si>
  <si>
    <t>Macro-F1</t>
  </si>
  <si>
    <t>Raw</t>
  </si>
  <si>
    <t>Processed</t>
  </si>
  <si>
    <t>GYRO</t>
  </si>
  <si>
    <t>ACCL</t>
  </si>
  <si>
    <t>Severity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</si>
</sst>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D1" s="1" t="s">
        <v>1</v>
      </c>
      <c r="F1" s="1" t="s">
        <v>2</v>
      </c>
      <c r="H1" s="1" t="s">
        <v>3</v>
      </c>
    </row>
    <row r="2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3">
      <c r="A3" s="2" t="s">
        <v>6</v>
      </c>
      <c r="B3" s="3">
        <v>0.6505</v>
      </c>
      <c r="C3" s="3">
        <v>0.6374</v>
      </c>
      <c r="D3" s="3">
        <v>0.5789</v>
      </c>
      <c r="E3" s="3">
        <v>0.5491</v>
      </c>
      <c r="F3" s="3">
        <v>0.5748</v>
      </c>
      <c r="G3" s="3">
        <v>0.542</v>
      </c>
      <c r="H3" s="2">
        <v>0.9101</v>
      </c>
      <c r="I3" s="2">
        <v>0.9108</v>
      </c>
    </row>
    <row r="4">
      <c r="A4" s="2" t="s">
        <v>7</v>
      </c>
      <c r="B4" s="3">
        <v>0.9016</v>
      </c>
      <c r="C4" s="3">
        <v>0.8985</v>
      </c>
      <c r="D4" s="3">
        <v>0.9552</v>
      </c>
      <c r="E4" s="3">
        <v>0.955</v>
      </c>
      <c r="F4" s="3">
        <v>0.9617</v>
      </c>
      <c r="G4" s="3">
        <v>0.9621</v>
      </c>
    </row>
  </sheetData>
  <mergeCells count="4">
    <mergeCell ref="B1:C1"/>
    <mergeCell ref="D1:E1"/>
    <mergeCell ref="F1:G1"/>
    <mergeCell ref="H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F1" s="1" t="s">
        <v>1</v>
      </c>
      <c r="J1" s="1" t="s">
        <v>2</v>
      </c>
      <c r="N1" s="1" t="s">
        <v>3</v>
      </c>
    </row>
    <row r="2">
      <c r="A2" s="2"/>
      <c r="B2" s="1" t="s">
        <v>8</v>
      </c>
      <c r="D2" s="1" t="s">
        <v>9</v>
      </c>
      <c r="F2" s="1" t="s">
        <v>8</v>
      </c>
      <c r="H2" s="1" t="s">
        <v>9</v>
      </c>
      <c r="J2" s="1" t="s">
        <v>8</v>
      </c>
      <c r="L2" s="1" t="s">
        <v>9</v>
      </c>
      <c r="N2" s="1" t="s">
        <v>8</v>
      </c>
      <c r="P2" s="1" t="s">
        <v>9</v>
      </c>
    </row>
    <row r="3">
      <c r="A3" s="2" t="s">
        <v>10</v>
      </c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1" t="s">
        <v>5</v>
      </c>
      <c r="J3" s="1" t="s">
        <v>4</v>
      </c>
      <c r="K3" s="1" t="s">
        <v>5</v>
      </c>
      <c r="L3" s="1" t="s">
        <v>4</v>
      </c>
      <c r="M3" s="1" t="s">
        <v>5</v>
      </c>
      <c r="N3" s="1" t="s">
        <v>4</v>
      </c>
      <c r="O3" s="1" t="s">
        <v>5</v>
      </c>
      <c r="P3" s="1" t="s">
        <v>4</v>
      </c>
      <c r="Q3" s="1" t="s">
        <v>5</v>
      </c>
    </row>
    <row r="4">
      <c r="A4" s="3">
        <v>0.1</v>
      </c>
      <c r="B4" s="3">
        <v>0.6054</v>
      </c>
      <c r="C4" s="3">
        <v>0.5804</v>
      </c>
      <c r="D4" s="3">
        <v>0.64</v>
      </c>
      <c r="E4" s="3">
        <v>0.624</v>
      </c>
      <c r="F4" s="3">
        <v>0.5752</v>
      </c>
      <c r="G4" s="3">
        <v>0.5492</v>
      </c>
      <c r="H4" s="3">
        <v>0.5755</v>
      </c>
      <c r="I4" s="3">
        <v>0.5494</v>
      </c>
      <c r="J4" s="3">
        <v>0.5626</v>
      </c>
      <c r="K4" s="3">
        <v>0.5374</v>
      </c>
      <c r="L4" s="3">
        <v>0.5653</v>
      </c>
      <c r="M4" s="3">
        <v>0.5421</v>
      </c>
      <c r="N4" s="2">
        <v>0.9046</v>
      </c>
      <c r="O4" s="2">
        <v>0.9057</v>
      </c>
      <c r="P4" s="2">
        <v>0.907</v>
      </c>
      <c r="Q4" s="2">
        <v>0.9081</v>
      </c>
    </row>
    <row r="5">
      <c r="A5" s="3">
        <v>0.2</v>
      </c>
      <c r="B5" s="3">
        <v>0.5551</v>
      </c>
      <c r="C5" s="3">
        <v>0.5148</v>
      </c>
      <c r="D5" s="3">
        <v>0.6271</v>
      </c>
      <c r="E5" s="3">
        <v>0.6079</v>
      </c>
      <c r="F5" s="3">
        <v>0.5724</v>
      </c>
      <c r="G5" s="3">
        <v>0.5468</v>
      </c>
      <c r="H5" s="3">
        <v>0.5714</v>
      </c>
      <c r="I5" s="3">
        <v>0.5458</v>
      </c>
      <c r="J5" s="3">
        <v>0.5487</v>
      </c>
      <c r="K5" s="3">
        <v>0.5243</v>
      </c>
      <c r="L5" s="3">
        <v>0.5538</v>
      </c>
      <c r="M5" s="3">
        <v>0.5309</v>
      </c>
      <c r="N5" s="2">
        <v>0.906</v>
      </c>
      <c r="O5" s="2">
        <v>0.9068</v>
      </c>
      <c r="P5" s="2">
        <v>0.9046</v>
      </c>
      <c r="Q5" s="2">
        <v>0.9045</v>
      </c>
    </row>
    <row r="6">
      <c r="A6" s="3">
        <v>0.3</v>
      </c>
      <c r="B6" s="3">
        <v>0.5175</v>
      </c>
      <c r="C6" s="3">
        <v>0.4573</v>
      </c>
      <c r="D6" s="3">
        <v>0.6135</v>
      </c>
      <c r="E6" s="3">
        <v>0.5896</v>
      </c>
      <c r="F6" s="3">
        <v>0.567</v>
      </c>
      <c r="G6" s="3">
        <v>0.5432</v>
      </c>
      <c r="H6" s="3">
        <v>0.5626</v>
      </c>
      <c r="I6" s="3">
        <v>0.5356</v>
      </c>
      <c r="J6" s="3">
        <v>0.5446</v>
      </c>
      <c r="K6" s="3">
        <v>0.5218</v>
      </c>
      <c r="L6" s="3">
        <v>0.5606</v>
      </c>
      <c r="M6" s="3">
        <v>0.5402</v>
      </c>
      <c r="N6" s="2">
        <v>0.9233</v>
      </c>
      <c r="O6" s="2">
        <v>0.9243</v>
      </c>
      <c r="P6" s="2">
        <v>0.889</v>
      </c>
      <c r="Q6" s="2">
        <v>0.8895</v>
      </c>
    </row>
    <row r="7">
      <c r="A7" s="3">
        <v>0.5</v>
      </c>
      <c r="B7" s="3">
        <v>0.4628</v>
      </c>
      <c r="C7" s="3">
        <v>0.3644</v>
      </c>
      <c r="D7" s="3">
        <v>0.5921</v>
      </c>
      <c r="E7" s="3">
        <v>0.5612</v>
      </c>
      <c r="F7" s="3">
        <v>0.5579</v>
      </c>
      <c r="G7" s="3">
        <v>0.5332</v>
      </c>
      <c r="H7" s="3">
        <v>0.5609</v>
      </c>
      <c r="I7" s="3">
        <v>0.5332</v>
      </c>
      <c r="J7" s="3">
        <v>0.5307</v>
      </c>
      <c r="K7" s="3">
        <v>0.5075</v>
      </c>
      <c r="L7" s="3">
        <v>0.5484</v>
      </c>
      <c r="M7" s="3">
        <v>0.5268</v>
      </c>
      <c r="N7" s="2">
        <v>0.9175</v>
      </c>
      <c r="O7" s="2">
        <v>0.9186</v>
      </c>
      <c r="P7" s="2">
        <v>0.908</v>
      </c>
      <c r="Q7" s="2">
        <v>0.9096</v>
      </c>
    </row>
  </sheetData>
  <mergeCells count="12">
    <mergeCell ref="H2:I2"/>
    <mergeCell ref="J2:K2"/>
    <mergeCell ref="L2:M2"/>
    <mergeCell ref="N2:O2"/>
    <mergeCell ref="B1:E1"/>
    <mergeCell ref="F1:I1"/>
    <mergeCell ref="J1:M1"/>
    <mergeCell ref="N1:Q1"/>
    <mergeCell ref="B2:C2"/>
    <mergeCell ref="D2:E2"/>
    <mergeCell ref="F2:G2"/>
    <mergeCell ref="P2:Q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F1" s="1" t="s">
        <v>1</v>
      </c>
      <c r="J1" s="1" t="s">
        <v>2</v>
      </c>
      <c r="N1" s="1" t="s">
        <v>3</v>
      </c>
    </row>
    <row r="2">
      <c r="A2" s="2"/>
      <c r="B2" s="1" t="s">
        <v>8</v>
      </c>
      <c r="D2" s="1" t="s">
        <v>9</v>
      </c>
      <c r="F2" s="1" t="s">
        <v>8</v>
      </c>
      <c r="H2" s="1" t="s">
        <v>9</v>
      </c>
      <c r="J2" s="1" t="s">
        <v>8</v>
      </c>
      <c r="L2" s="1" t="s">
        <v>9</v>
      </c>
      <c r="N2" s="1" t="s">
        <v>8</v>
      </c>
      <c r="P2" s="1" t="s">
        <v>9</v>
      </c>
    </row>
    <row r="3">
      <c r="A3" s="2" t="s">
        <v>10</v>
      </c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1" t="s">
        <v>5</v>
      </c>
      <c r="J3" s="1" t="s">
        <v>4</v>
      </c>
      <c r="K3" s="1" t="s">
        <v>5</v>
      </c>
      <c r="L3" s="1" t="s">
        <v>4</v>
      </c>
      <c r="M3" s="1" t="s">
        <v>5</v>
      </c>
      <c r="N3" s="1" t="s">
        <v>4</v>
      </c>
      <c r="O3" s="1" t="s">
        <v>5</v>
      </c>
      <c r="P3" s="1" t="s">
        <v>4</v>
      </c>
      <c r="Q3" s="1" t="s">
        <v>5</v>
      </c>
    </row>
    <row r="4">
      <c r="A4" s="3">
        <v>1.0</v>
      </c>
      <c r="B4" s="3">
        <v>0.6508</v>
      </c>
      <c r="C4" s="3">
        <v>0.6397</v>
      </c>
      <c r="D4" s="3">
        <v>0.6525</v>
      </c>
      <c r="E4" s="3">
        <v>0.6403</v>
      </c>
      <c r="F4" s="3">
        <v>0.5789</v>
      </c>
      <c r="G4" s="3">
        <v>0.5168</v>
      </c>
      <c r="H4" s="3">
        <v>0.5538</v>
      </c>
      <c r="I4" s="3">
        <v>0.4833</v>
      </c>
      <c r="J4" s="3">
        <v>0.5779</v>
      </c>
      <c r="K4" s="3">
        <v>0.526</v>
      </c>
      <c r="L4" s="3">
        <v>0.5429</v>
      </c>
      <c r="M4" s="3">
        <v>0.474</v>
      </c>
      <c r="N4" s="2">
        <v>0.8616</v>
      </c>
      <c r="O4" s="2">
        <v>0.8639</v>
      </c>
      <c r="P4" s="2">
        <v>0.5948</v>
      </c>
      <c r="Q4" s="2">
        <v>0.5626</v>
      </c>
    </row>
    <row r="5">
      <c r="A5" s="3">
        <v>2.0</v>
      </c>
      <c r="B5" s="3">
        <v>0.6512</v>
      </c>
      <c r="C5" s="3">
        <v>0.64</v>
      </c>
      <c r="D5" s="3">
        <v>0.6539</v>
      </c>
      <c r="E5" s="3">
        <v>0.6417</v>
      </c>
      <c r="F5" s="3">
        <v>0.5864</v>
      </c>
      <c r="G5" s="3">
        <v>0.496</v>
      </c>
      <c r="H5" s="3">
        <v>0.5287</v>
      </c>
      <c r="I5" s="3">
        <v>0.4646</v>
      </c>
      <c r="J5" s="3">
        <v>0.5796</v>
      </c>
      <c r="K5" s="3">
        <v>0.504</v>
      </c>
      <c r="L5" s="3">
        <v>0.4903</v>
      </c>
      <c r="M5" s="3">
        <v>0.4317</v>
      </c>
      <c r="N5" s="2">
        <v>0.5219</v>
      </c>
      <c r="O5" s="2">
        <v>0.4518</v>
      </c>
      <c r="P5" s="2">
        <v>0.5039</v>
      </c>
      <c r="Q5" s="2">
        <v>0.4174</v>
      </c>
    </row>
    <row r="6">
      <c r="A6" s="3">
        <v>4.0</v>
      </c>
      <c r="B6" s="3">
        <v>0.6142</v>
      </c>
      <c r="C6" s="3">
        <v>0.5643</v>
      </c>
      <c r="D6" s="3">
        <v>0.6481</v>
      </c>
      <c r="E6" s="3">
        <v>0.6343</v>
      </c>
      <c r="F6" s="3">
        <v>0.5857</v>
      </c>
      <c r="G6" s="3">
        <v>0.4925</v>
      </c>
      <c r="H6" s="3">
        <v>0.4686</v>
      </c>
      <c r="I6" s="3">
        <v>0.4112</v>
      </c>
      <c r="J6" s="3">
        <v>0.5823</v>
      </c>
      <c r="K6" s="3">
        <v>0.4849</v>
      </c>
      <c r="L6" s="3">
        <v>0.416</v>
      </c>
      <c r="M6" s="3">
        <v>0.3495</v>
      </c>
      <c r="N6" s="2">
        <v>0.4659</v>
      </c>
      <c r="O6" s="2">
        <v>0.3477</v>
      </c>
      <c r="P6" s="2">
        <v>0.4649</v>
      </c>
      <c r="Q6" s="2">
        <v>0.3497</v>
      </c>
    </row>
    <row r="7">
      <c r="A7" s="3">
        <v>8.0</v>
      </c>
      <c r="B7" s="3">
        <v>0.6026</v>
      </c>
      <c r="C7" s="3">
        <v>0.5359</v>
      </c>
      <c r="D7" s="3">
        <v>0.6349</v>
      </c>
      <c r="E7" s="3">
        <v>0.6184</v>
      </c>
      <c r="F7" s="3">
        <v>0.5735</v>
      </c>
      <c r="G7" s="3">
        <v>0.4873</v>
      </c>
      <c r="H7" s="3">
        <v>0.4072</v>
      </c>
      <c r="I7" s="3">
        <v>0.3351</v>
      </c>
      <c r="J7" s="3">
        <v>0.5806</v>
      </c>
      <c r="K7" s="3">
        <v>0.4894</v>
      </c>
      <c r="L7" s="3">
        <v>0.3722</v>
      </c>
      <c r="M7" s="3">
        <v>0.2999</v>
      </c>
      <c r="N7" s="2">
        <v>0.4567</v>
      </c>
      <c r="O7" s="2">
        <v>0.3243</v>
      </c>
      <c r="P7" s="2">
        <v>0.4628</v>
      </c>
      <c r="Q7" s="2">
        <v>0.3454</v>
      </c>
    </row>
  </sheetData>
  <mergeCells count="12">
    <mergeCell ref="H2:I2"/>
    <mergeCell ref="J2:K2"/>
    <mergeCell ref="L2:M2"/>
    <mergeCell ref="N2:O2"/>
    <mergeCell ref="B1:E1"/>
    <mergeCell ref="F1:I1"/>
    <mergeCell ref="J1:M1"/>
    <mergeCell ref="N1:Q1"/>
    <mergeCell ref="B2:C2"/>
    <mergeCell ref="D2:E2"/>
    <mergeCell ref="F2:G2"/>
    <mergeCell ref="P2:Q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F1" s="1" t="s">
        <v>1</v>
      </c>
      <c r="J1" s="1" t="s">
        <v>2</v>
      </c>
      <c r="N1" s="1" t="s">
        <v>3</v>
      </c>
    </row>
    <row r="2">
      <c r="A2" s="2"/>
      <c r="B2" s="1" t="s">
        <v>8</v>
      </c>
      <c r="D2" s="1" t="s">
        <v>9</v>
      </c>
      <c r="F2" s="1" t="s">
        <v>8</v>
      </c>
      <c r="H2" s="1" t="s">
        <v>9</v>
      </c>
      <c r="J2" s="1" t="s">
        <v>8</v>
      </c>
      <c r="L2" s="1" t="s">
        <v>9</v>
      </c>
      <c r="N2" s="1" t="s">
        <v>8</v>
      </c>
      <c r="P2" s="1" t="s">
        <v>9</v>
      </c>
    </row>
    <row r="3">
      <c r="A3" s="2" t="s">
        <v>10</v>
      </c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1" t="s">
        <v>5</v>
      </c>
      <c r="J3" s="1" t="s">
        <v>4</v>
      </c>
      <c r="K3" s="1" t="s">
        <v>5</v>
      </c>
      <c r="L3" s="1" t="s">
        <v>4</v>
      </c>
      <c r="M3" s="1" t="s">
        <v>5</v>
      </c>
      <c r="N3" s="1" t="s">
        <v>4</v>
      </c>
      <c r="O3" s="1" t="s">
        <v>5</v>
      </c>
      <c r="P3" s="1" t="s">
        <v>4</v>
      </c>
      <c r="Q3" s="1" t="s">
        <v>5</v>
      </c>
    </row>
    <row r="4">
      <c r="A4" s="3">
        <v>0.25</v>
      </c>
      <c r="B4" s="3">
        <v>0.6532</v>
      </c>
      <c r="C4" s="3">
        <v>0.6399</v>
      </c>
      <c r="D4" s="3">
        <v>0.6495</v>
      </c>
      <c r="E4" s="3">
        <v>0.635</v>
      </c>
      <c r="F4" s="3">
        <v>0.5735</v>
      </c>
      <c r="G4" s="3">
        <v>0.5449</v>
      </c>
      <c r="H4" s="3">
        <v>0.5765</v>
      </c>
      <c r="I4" s="3">
        <v>0.5496</v>
      </c>
      <c r="J4" s="3">
        <v>0.5579</v>
      </c>
      <c r="K4" s="3">
        <v>0.5298</v>
      </c>
      <c r="L4" s="3">
        <v>0.5701</v>
      </c>
      <c r="M4" s="3">
        <v>0.5447</v>
      </c>
      <c r="N4" s="2">
        <f>0.9002</f>
        <v>0.9002</v>
      </c>
      <c r="O4" s="2">
        <f>0.9014</f>
        <v>0.9014</v>
      </c>
      <c r="P4" s="2">
        <f>0.9057</f>
        <v>0.9057</v>
      </c>
      <c r="Q4" s="2">
        <f>0.9071</f>
        <v>0.9071</v>
      </c>
    </row>
    <row r="5">
      <c r="A5" s="3">
        <v>0.5</v>
      </c>
      <c r="B5" s="3">
        <v>0.6529</v>
      </c>
      <c r="C5" s="3">
        <v>0.6426</v>
      </c>
      <c r="D5" s="3">
        <v>0.6515</v>
      </c>
      <c r="E5" s="3">
        <v>0.6388</v>
      </c>
      <c r="F5" s="3">
        <v>0.5646</v>
      </c>
      <c r="G5" s="3">
        <v>0.5398</v>
      </c>
      <c r="H5" s="3">
        <v>0.5589</v>
      </c>
      <c r="I5" s="3">
        <v>0.531</v>
      </c>
      <c r="J5" s="3">
        <v>0.5446</v>
      </c>
      <c r="K5" s="3">
        <v>0.5178</v>
      </c>
      <c r="L5" s="3">
        <v>0.5514</v>
      </c>
      <c r="M5" s="3">
        <v>0.5287</v>
      </c>
      <c r="N5" s="2">
        <f>0.9169</f>
        <v>0.9169</v>
      </c>
      <c r="O5" s="2">
        <f>0.9184</f>
        <v>0.9184</v>
      </c>
      <c r="P5" s="2">
        <f>0.9135</f>
        <v>0.9135</v>
      </c>
      <c r="Q5" s="2">
        <f>0.9143</f>
        <v>0.9143</v>
      </c>
    </row>
    <row r="6">
      <c r="A6" s="3">
        <v>1.0</v>
      </c>
      <c r="B6" s="3">
        <v>0.6529</v>
      </c>
      <c r="C6" s="3">
        <v>0.64</v>
      </c>
      <c r="D6" s="3">
        <v>0.6498</v>
      </c>
      <c r="E6" s="3">
        <v>0.6355</v>
      </c>
      <c r="F6" s="3">
        <v>0.5412</v>
      </c>
      <c r="G6" s="3">
        <v>0.5201</v>
      </c>
      <c r="H6" s="3">
        <v>0.5555</v>
      </c>
      <c r="I6" s="3">
        <v>0.531</v>
      </c>
      <c r="J6" s="3">
        <v>0.5215</v>
      </c>
      <c r="K6" s="3">
        <v>0.5009</v>
      </c>
      <c r="L6" s="3">
        <v>0.5392</v>
      </c>
      <c r="M6" s="3">
        <v>0.5228</v>
      </c>
      <c r="N6" s="2">
        <f>0.8897</f>
        <v>0.8897</v>
      </c>
      <c r="O6" s="2">
        <f>0.8919</f>
        <v>0.8919</v>
      </c>
      <c r="P6" s="2">
        <f>0.9253</f>
        <v>0.9253</v>
      </c>
      <c r="Q6" s="2">
        <f>0.9275</f>
        <v>0.9275</v>
      </c>
    </row>
    <row r="7">
      <c r="A7" s="3">
        <v>1.25</v>
      </c>
      <c r="B7" s="3">
        <v>0.6624</v>
      </c>
      <c r="C7" s="3">
        <v>0.6524</v>
      </c>
      <c r="D7" s="3">
        <v>0.6512</v>
      </c>
      <c r="E7" s="3">
        <v>0.6367</v>
      </c>
      <c r="F7" s="3">
        <v>0.5439</v>
      </c>
      <c r="G7" s="3">
        <v>0.523</v>
      </c>
      <c r="H7" s="3">
        <v>0.531</v>
      </c>
      <c r="I7" s="3">
        <v>0.5091</v>
      </c>
      <c r="J7" s="3">
        <v>0.5192</v>
      </c>
      <c r="K7" s="3">
        <v>0.4988</v>
      </c>
      <c r="L7" s="3">
        <v>0.5266</v>
      </c>
      <c r="M7" s="3">
        <v>0.5145</v>
      </c>
      <c r="N7" s="2">
        <f>0.903</f>
        <v>0.903</v>
      </c>
      <c r="O7" s="2">
        <f>0.9044</f>
        <v>0.9044</v>
      </c>
      <c r="P7" s="2">
        <f>0.9141</f>
        <v>0.9141</v>
      </c>
      <c r="Q7" s="2">
        <f>0.9158</f>
        <v>0.9158</v>
      </c>
    </row>
  </sheetData>
  <mergeCells count="12">
    <mergeCell ref="H2:I2"/>
    <mergeCell ref="J2:K2"/>
    <mergeCell ref="L2:M2"/>
    <mergeCell ref="N2:O2"/>
    <mergeCell ref="B1:E1"/>
    <mergeCell ref="F1:I1"/>
    <mergeCell ref="J1:M1"/>
    <mergeCell ref="N1:Q1"/>
    <mergeCell ref="B2:C2"/>
    <mergeCell ref="D2:E2"/>
    <mergeCell ref="F2:G2"/>
    <mergeCell ref="P2:Q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F1" s="1" t="s">
        <v>1</v>
      </c>
      <c r="J1" s="1" t="s">
        <v>2</v>
      </c>
      <c r="N1" s="1" t="s">
        <v>3</v>
      </c>
    </row>
    <row r="2">
      <c r="A2" s="2"/>
      <c r="B2" s="1" t="s">
        <v>8</v>
      </c>
      <c r="D2" s="1" t="s">
        <v>9</v>
      </c>
      <c r="F2" s="1" t="s">
        <v>8</v>
      </c>
      <c r="H2" s="1" t="s">
        <v>9</v>
      </c>
      <c r="J2" s="1" t="s">
        <v>8</v>
      </c>
      <c r="L2" s="1" t="s">
        <v>9</v>
      </c>
      <c r="N2" s="1" t="s">
        <v>8</v>
      </c>
      <c r="P2" s="1" t="s">
        <v>9</v>
      </c>
    </row>
    <row r="3">
      <c r="A3" s="2" t="s">
        <v>10</v>
      </c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1" t="s">
        <v>5</v>
      </c>
      <c r="J3" s="1" t="s">
        <v>4</v>
      </c>
      <c r="K3" s="1" t="s">
        <v>5</v>
      </c>
      <c r="L3" s="1" t="s">
        <v>4</v>
      </c>
      <c r="M3" s="1" t="s">
        <v>5</v>
      </c>
      <c r="N3" s="1" t="s">
        <v>4</v>
      </c>
      <c r="O3" s="1" t="s">
        <v>5</v>
      </c>
      <c r="P3" s="1" t="s">
        <v>4</v>
      </c>
      <c r="Q3" s="1" t="s">
        <v>5</v>
      </c>
    </row>
    <row r="4">
      <c r="A4" s="3">
        <v>0.5</v>
      </c>
      <c r="B4" s="3">
        <v>0.6457</v>
      </c>
      <c r="C4" s="3">
        <v>0.6306</v>
      </c>
      <c r="D4" s="3">
        <v>0.6552</v>
      </c>
      <c r="E4" s="3">
        <v>0.6444</v>
      </c>
      <c r="F4" s="3">
        <v>0.5792</v>
      </c>
      <c r="G4" s="3">
        <v>0.5203</v>
      </c>
      <c r="H4" s="3">
        <v>0.564</v>
      </c>
      <c r="I4" s="3">
        <v>0.4898</v>
      </c>
      <c r="J4" s="3">
        <v>0.5619</v>
      </c>
      <c r="K4" s="3">
        <v>0.513</v>
      </c>
      <c r="L4" s="3">
        <v>0.5609</v>
      </c>
      <c r="M4" s="3">
        <v>0.4868</v>
      </c>
      <c r="N4" s="2">
        <f>0.8873</f>
        <v>0.8873</v>
      </c>
      <c r="O4" s="2">
        <f>0.8899</f>
        <v>0.8899</v>
      </c>
      <c r="P4" s="2">
        <f>0.8734</f>
        <v>0.8734</v>
      </c>
      <c r="Q4" s="2">
        <f>0.875</f>
        <v>0.875</v>
      </c>
    </row>
    <row r="5">
      <c r="A5" s="3">
        <v>1.0</v>
      </c>
      <c r="B5" s="3">
        <v>0.6206</v>
      </c>
      <c r="C5" s="3">
        <v>0.604</v>
      </c>
      <c r="D5" s="3">
        <v>0.6529</v>
      </c>
      <c r="E5" s="3">
        <v>0.6411</v>
      </c>
      <c r="F5" s="3">
        <v>0.5819</v>
      </c>
      <c r="G5" s="3">
        <v>0.4903</v>
      </c>
      <c r="H5" s="3">
        <v>0.5487</v>
      </c>
      <c r="I5" s="3">
        <v>0.4795</v>
      </c>
      <c r="J5" s="3">
        <v>0.5548</v>
      </c>
      <c r="K5" s="3">
        <v>0.481</v>
      </c>
      <c r="L5" s="3">
        <v>0.5277</v>
      </c>
      <c r="M5" s="3">
        <v>0.4627</v>
      </c>
      <c r="N5" s="2">
        <f>0.6033</f>
        <v>0.6033</v>
      </c>
      <c r="O5" s="2">
        <f>0.5703</f>
        <v>0.5703</v>
      </c>
      <c r="P5" s="2">
        <f>0.6603</f>
        <v>0.6603</v>
      </c>
      <c r="Q5" s="2">
        <f>0.6517</f>
        <v>0.6517</v>
      </c>
    </row>
    <row r="6">
      <c r="A6" s="3">
        <v>1.5</v>
      </c>
      <c r="B6" s="3">
        <v>0.5938</v>
      </c>
      <c r="C6" s="3">
        <v>0.5639</v>
      </c>
      <c r="D6" s="3">
        <v>0.6495</v>
      </c>
      <c r="E6" s="3">
        <v>0.6386</v>
      </c>
      <c r="F6" s="3">
        <v>0.5874</v>
      </c>
      <c r="G6" s="3">
        <v>0.4917</v>
      </c>
      <c r="H6" s="3">
        <v>0.5324</v>
      </c>
      <c r="I6" s="3">
        <v>0.4673</v>
      </c>
      <c r="J6" s="3">
        <v>0.5592</v>
      </c>
      <c r="K6" s="3">
        <v>0.47</v>
      </c>
      <c r="L6" s="3">
        <v>0.4893</v>
      </c>
      <c r="M6" s="3">
        <v>0.432</v>
      </c>
      <c r="N6" s="2">
        <v>0.5724</v>
      </c>
      <c r="O6" s="2">
        <v>0.5237</v>
      </c>
      <c r="P6" s="2">
        <v>0.5039</v>
      </c>
      <c r="Q6" s="2">
        <v>0.4221</v>
      </c>
    </row>
    <row r="7">
      <c r="A7" s="3">
        <v>2.0</v>
      </c>
      <c r="B7" s="3">
        <v>0.5779</v>
      </c>
      <c r="C7" s="3">
        <v>0.5301</v>
      </c>
      <c r="D7" s="3">
        <v>0.6457</v>
      </c>
      <c r="E7" s="3">
        <v>0.6329</v>
      </c>
      <c r="F7" s="3">
        <v>0.5843</v>
      </c>
      <c r="G7" s="3">
        <v>0.4907</v>
      </c>
      <c r="H7" s="3">
        <v>0.5148</v>
      </c>
      <c r="I7" s="3">
        <v>0.4547</v>
      </c>
      <c r="J7" s="3">
        <v>0.5677</v>
      </c>
      <c r="K7" s="3">
        <v>0.4703</v>
      </c>
      <c r="L7" s="3">
        <v>0.4537</v>
      </c>
      <c r="M7" s="3">
        <v>0.3979</v>
      </c>
      <c r="N7" s="2">
        <f>0.5253</f>
        <v>0.5253</v>
      </c>
      <c r="O7" s="2">
        <f>0.4403</f>
        <v>0.4403</v>
      </c>
      <c r="P7" s="2">
        <f>0.4516</f>
        <v>0.4516</v>
      </c>
      <c r="Q7" s="2">
        <f>0.3353</f>
        <v>0.3353</v>
      </c>
    </row>
  </sheetData>
  <mergeCells count="12">
    <mergeCell ref="H2:I2"/>
    <mergeCell ref="J2:K2"/>
    <mergeCell ref="L2:M2"/>
    <mergeCell ref="N2:O2"/>
    <mergeCell ref="B1:E1"/>
    <mergeCell ref="F1:I1"/>
    <mergeCell ref="J1:M1"/>
    <mergeCell ref="N1:Q1"/>
    <mergeCell ref="B2:C2"/>
    <mergeCell ref="D2:E2"/>
    <mergeCell ref="F2:G2"/>
    <mergeCell ref="P2:Q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F1" s="1" t="s">
        <v>1</v>
      </c>
      <c r="J1" s="1" t="s">
        <v>2</v>
      </c>
      <c r="N1" s="1" t="s">
        <v>3</v>
      </c>
    </row>
    <row r="2">
      <c r="A2" s="2"/>
      <c r="B2" s="1" t="s">
        <v>8</v>
      </c>
      <c r="D2" s="1" t="s">
        <v>9</v>
      </c>
      <c r="F2" s="1" t="s">
        <v>8</v>
      </c>
      <c r="H2" s="1" t="s">
        <v>9</v>
      </c>
      <c r="J2" s="1" t="s">
        <v>8</v>
      </c>
      <c r="L2" s="1" t="s">
        <v>9</v>
      </c>
      <c r="N2" s="1" t="s">
        <v>8</v>
      </c>
      <c r="P2" s="1" t="s">
        <v>9</v>
      </c>
    </row>
    <row r="3">
      <c r="A3" s="2" t="s">
        <v>10</v>
      </c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1" t="s">
        <v>5</v>
      </c>
      <c r="J3" s="1" t="s">
        <v>4</v>
      </c>
      <c r="K3" s="1" t="s">
        <v>5</v>
      </c>
      <c r="L3" s="1" t="s">
        <v>4</v>
      </c>
      <c r="M3" s="1" t="s">
        <v>5</v>
      </c>
      <c r="N3" s="1" t="s">
        <v>4</v>
      </c>
      <c r="O3" s="1" t="s">
        <v>5</v>
      </c>
      <c r="P3" s="1" t="s">
        <v>4</v>
      </c>
      <c r="Q3" s="1" t="s">
        <v>5</v>
      </c>
    </row>
    <row r="4">
      <c r="A4" s="3">
        <v>0.25</v>
      </c>
      <c r="B4" s="3">
        <v>0.4421</v>
      </c>
      <c r="C4" s="3">
        <v>0.3254</v>
      </c>
      <c r="D4" s="3">
        <v>0.5674</v>
      </c>
      <c r="E4" s="3">
        <v>0.528</v>
      </c>
      <c r="F4" s="3">
        <v>0.5779</v>
      </c>
      <c r="G4" s="3">
        <v>0.5463</v>
      </c>
      <c r="H4" s="3">
        <v>0.5575</v>
      </c>
      <c r="I4" s="3">
        <v>0.524</v>
      </c>
      <c r="J4" s="3">
        <v>0.5707</v>
      </c>
      <c r="K4" s="3">
        <v>0.5357</v>
      </c>
      <c r="L4" s="3">
        <v>0.5395</v>
      </c>
      <c r="M4" s="3">
        <v>0.5016</v>
      </c>
      <c r="N4" s="2">
        <v>0.8853</v>
      </c>
      <c r="O4" s="2">
        <v>0.8856</v>
      </c>
      <c r="P4" s="2">
        <v>0.849</v>
      </c>
      <c r="Q4" s="2">
        <v>0.8474</v>
      </c>
    </row>
    <row r="5">
      <c r="A5" s="3">
        <v>0.5</v>
      </c>
      <c r="B5" s="3">
        <v>0.4618</v>
      </c>
      <c r="C5" s="3">
        <v>0.3614</v>
      </c>
      <c r="D5" s="3">
        <v>0.5914</v>
      </c>
      <c r="E5" s="3">
        <v>0.5597</v>
      </c>
      <c r="F5" s="3">
        <v>0.5721</v>
      </c>
      <c r="G5" s="3">
        <v>0.5399</v>
      </c>
      <c r="H5" s="3">
        <v>0.5663</v>
      </c>
      <c r="I5" s="3">
        <v>0.5332</v>
      </c>
      <c r="J5" s="3">
        <v>0.5755</v>
      </c>
      <c r="K5" s="3">
        <v>0.5418</v>
      </c>
      <c r="L5" s="3">
        <v>0.5504</v>
      </c>
      <c r="M5" s="3">
        <v>0.5109</v>
      </c>
      <c r="N5" s="2">
        <v>0.9077</v>
      </c>
      <c r="O5" s="2">
        <v>0.9089</v>
      </c>
      <c r="P5" s="2">
        <v>0.8741</v>
      </c>
      <c r="Q5" s="2">
        <v>0.873</v>
      </c>
    </row>
    <row r="6">
      <c r="A6" s="3">
        <v>0.75</v>
      </c>
      <c r="B6" s="3">
        <v>0.5294</v>
      </c>
      <c r="C6" s="3">
        <v>0.4776</v>
      </c>
      <c r="D6" s="3">
        <v>0.6196</v>
      </c>
      <c r="E6" s="3">
        <v>0.5982</v>
      </c>
      <c r="F6" s="3">
        <v>0.5775</v>
      </c>
      <c r="G6" s="3">
        <v>0.5471</v>
      </c>
      <c r="H6" s="3">
        <v>0.5765</v>
      </c>
      <c r="I6" s="3">
        <v>0.5457</v>
      </c>
      <c r="J6" s="3">
        <v>0.5745</v>
      </c>
      <c r="K6" s="3">
        <v>0.5408</v>
      </c>
      <c r="L6" s="3">
        <v>0.5684</v>
      </c>
      <c r="M6" s="3">
        <v>0.5326</v>
      </c>
      <c r="N6" s="2">
        <v>0.8918</v>
      </c>
      <c r="O6" s="2">
        <v>0.893</v>
      </c>
      <c r="P6" s="2">
        <v>0.905</v>
      </c>
      <c r="Q6" s="2">
        <v>0.9062</v>
      </c>
    </row>
    <row r="7">
      <c r="A7" s="3">
        <v>0.9</v>
      </c>
      <c r="B7" s="3">
        <v>0.5993</v>
      </c>
      <c r="C7" s="3">
        <v>0.5736</v>
      </c>
      <c r="D7" s="3">
        <v>0.641</v>
      </c>
      <c r="E7" s="3">
        <v>0.6252</v>
      </c>
      <c r="F7" s="3">
        <v>0.5786</v>
      </c>
      <c r="G7" s="3">
        <v>0.5484</v>
      </c>
      <c r="H7" s="3">
        <v>0.5792</v>
      </c>
      <c r="I7" s="3">
        <v>0.5496</v>
      </c>
      <c r="J7" s="3">
        <v>0.5735</v>
      </c>
      <c r="K7" s="3">
        <v>0.5393</v>
      </c>
      <c r="L7" s="3">
        <v>0.5704</v>
      </c>
      <c r="M7" s="3">
        <v>0.5354</v>
      </c>
      <c r="N7" s="2">
        <v>0.9101</v>
      </c>
      <c r="O7" s="2">
        <v>0.9105</v>
      </c>
      <c r="P7" s="2">
        <v>0.905</v>
      </c>
      <c r="Q7" s="2">
        <v>0.9067</v>
      </c>
    </row>
  </sheetData>
  <mergeCells count="12">
    <mergeCell ref="H2:I2"/>
    <mergeCell ref="J2:K2"/>
    <mergeCell ref="L2:M2"/>
    <mergeCell ref="N2:O2"/>
    <mergeCell ref="B1:E1"/>
    <mergeCell ref="F1:I1"/>
    <mergeCell ref="J1:M1"/>
    <mergeCell ref="N1:Q1"/>
    <mergeCell ref="B2:C2"/>
    <mergeCell ref="D2:E2"/>
    <mergeCell ref="F2:G2"/>
    <mergeCell ref="P2:Q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F1" s="1" t="s">
        <v>1</v>
      </c>
      <c r="J1" s="1" t="s">
        <v>2</v>
      </c>
      <c r="N1" s="1" t="s">
        <v>3</v>
      </c>
    </row>
    <row r="2">
      <c r="A2" s="2"/>
      <c r="B2" s="1" t="s">
        <v>8</v>
      </c>
      <c r="D2" s="1" t="s">
        <v>9</v>
      </c>
      <c r="F2" s="1" t="s">
        <v>8</v>
      </c>
      <c r="H2" s="1" t="s">
        <v>9</v>
      </c>
      <c r="J2" s="1" t="s">
        <v>8</v>
      </c>
      <c r="L2" s="1" t="s">
        <v>9</v>
      </c>
      <c r="N2" s="1" t="s">
        <v>8</v>
      </c>
      <c r="P2" s="1" t="s">
        <v>9</v>
      </c>
    </row>
    <row r="3">
      <c r="A3" s="2" t="s">
        <v>10</v>
      </c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1" t="s">
        <v>5</v>
      </c>
      <c r="J3" s="1" t="s">
        <v>4</v>
      </c>
      <c r="K3" s="1" t="s">
        <v>5</v>
      </c>
      <c r="L3" s="1" t="s">
        <v>4</v>
      </c>
      <c r="M3" s="1" t="s">
        <v>5</v>
      </c>
      <c r="N3" s="1" t="s">
        <v>4</v>
      </c>
      <c r="O3" s="1" t="s">
        <v>5</v>
      </c>
      <c r="P3" s="1" t="s">
        <v>4</v>
      </c>
      <c r="Q3" s="1" t="s">
        <v>5</v>
      </c>
    </row>
    <row r="4">
      <c r="A4" s="3">
        <v>1.1</v>
      </c>
      <c r="B4" s="3">
        <v>0.6987</v>
      </c>
      <c r="C4" s="3">
        <v>0.69</v>
      </c>
      <c r="D4" s="3">
        <v>0.6654</v>
      </c>
      <c r="E4" s="3">
        <v>0.6546</v>
      </c>
      <c r="F4" s="3">
        <v>0.5782</v>
      </c>
      <c r="G4" s="3">
        <v>0.5486</v>
      </c>
      <c r="H4" s="3">
        <v>0.5786</v>
      </c>
      <c r="I4" s="3">
        <v>0.5492</v>
      </c>
      <c r="J4" s="3">
        <v>0.5748</v>
      </c>
      <c r="K4" s="3">
        <v>0.5424</v>
      </c>
      <c r="L4" s="3">
        <v>0.5748</v>
      </c>
      <c r="M4" s="3">
        <v>0.5424</v>
      </c>
      <c r="N4" s="2">
        <v>0.9104</v>
      </c>
      <c r="O4" s="2">
        <v>0.9113</v>
      </c>
      <c r="P4" s="2">
        <v>0.9016</v>
      </c>
      <c r="Q4" s="2">
        <v>0.9032</v>
      </c>
    </row>
    <row r="5">
      <c r="A5" s="3">
        <v>1.25</v>
      </c>
      <c r="B5" s="3">
        <v>0.7618</v>
      </c>
      <c r="C5" s="3">
        <v>0.759</v>
      </c>
      <c r="D5" s="3">
        <v>0.6878</v>
      </c>
      <c r="E5" s="3">
        <v>0.681</v>
      </c>
      <c r="F5" s="3">
        <v>0.5789</v>
      </c>
      <c r="G5" s="3">
        <v>0.5502</v>
      </c>
      <c r="H5" s="3">
        <v>0.5789</v>
      </c>
      <c r="I5" s="3">
        <v>0.5506</v>
      </c>
      <c r="J5" s="3">
        <v>0.5728</v>
      </c>
      <c r="K5" s="3">
        <v>0.5409</v>
      </c>
      <c r="L5" s="3">
        <v>0.5741</v>
      </c>
      <c r="M5" s="3">
        <v>0.5416</v>
      </c>
      <c r="N5" s="2">
        <v>0.9009</v>
      </c>
      <c r="O5" s="2">
        <v>0.9035</v>
      </c>
      <c r="P5" s="2">
        <v>0.9063</v>
      </c>
      <c r="Q5" s="2">
        <v>0.9075</v>
      </c>
    </row>
    <row r="6">
      <c r="A6" s="3">
        <v>1.5</v>
      </c>
      <c r="B6" s="3">
        <v>0.8235</v>
      </c>
      <c r="C6" s="3">
        <v>0.8236</v>
      </c>
      <c r="D6" s="3">
        <v>0.7241</v>
      </c>
      <c r="E6" s="3">
        <v>0.722</v>
      </c>
      <c r="F6" s="3">
        <v>0.5796</v>
      </c>
      <c r="G6" s="3">
        <v>0.5513</v>
      </c>
      <c r="H6" s="3">
        <v>0.5782</v>
      </c>
      <c r="I6" s="3">
        <v>0.5507</v>
      </c>
      <c r="J6" s="3">
        <v>0.5738</v>
      </c>
      <c r="K6" s="3">
        <v>0.5425</v>
      </c>
      <c r="L6" s="3">
        <v>0.5677</v>
      </c>
      <c r="M6" s="3">
        <v>0.5376</v>
      </c>
      <c r="N6" s="2">
        <v>0.8999</v>
      </c>
      <c r="O6" s="2">
        <v>0.9007</v>
      </c>
      <c r="P6" s="2">
        <v>0.8188</v>
      </c>
      <c r="Q6" s="2">
        <v>0.8138</v>
      </c>
    </row>
    <row r="7">
      <c r="A7" s="3">
        <v>2.0</v>
      </c>
      <c r="B7" s="3">
        <v>0.8765</v>
      </c>
      <c r="C7" s="3">
        <v>0.8749</v>
      </c>
      <c r="D7" s="3">
        <v>0.7832</v>
      </c>
      <c r="E7" s="3">
        <v>0.7876</v>
      </c>
      <c r="F7" s="3">
        <v>0.5714</v>
      </c>
      <c r="G7" s="3">
        <v>0.5433</v>
      </c>
      <c r="H7" s="3">
        <v>0.5697</v>
      </c>
      <c r="I7" s="3">
        <v>0.5444</v>
      </c>
      <c r="J7" s="3">
        <v>0.5701</v>
      </c>
      <c r="K7" s="3">
        <v>0.5391</v>
      </c>
      <c r="L7" s="3">
        <v>0.5456</v>
      </c>
      <c r="M7" s="3">
        <v>0.5179</v>
      </c>
      <c r="N7" s="2">
        <v>0.8853</v>
      </c>
      <c r="O7" s="2">
        <v>0.8867</v>
      </c>
      <c r="P7" s="2">
        <v>0.7957</v>
      </c>
      <c r="Q7" s="2">
        <v>0.7534</v>
      </c>
    </row>
  </sheetData>
  <mergeCells count="12">
    <mergeCell ref="H2:I2"/>
    <mergeCell ref="J2:K2"/>
    <mergeCell ref="L2:M2"/>
    <mergeCell ref="N2:O2"/>
    <mergeCell ref="B1:E1"/>
    <mergeCell ref="F1:I1"/>
    <mergeCell ref="J1:M1"/>
    <mergeCell ref="N1:Q1"/>
    <mergeCell ref="B2:C2"/>
    <mergeCell ref="D2:E2"/>
    <mergeCell ref="F2:G2"/>
    <mergeCell ref="P2:Q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F1" s="1" t="s">
        <v>1</v>
      </c>
      <c r="J1" s="1" t="s">
        <v>2</v>
      </c>
      <c r="N1" s="1" t="s">
        <v>3</v>
      </c>
    </row>
    <row r="2">
      <c r="A2" s="2"/>
      <c r="B2" s="1" t="s">
        <v>8</v>
      </c>
      <c r="D2" s="1" t="s">
        <v>9</v>
      </c>
      <c r="F2" s="1" t="s">
        <v>8</v>
      </c>
      <c r="H2" s="1" t="s">
        <v>9</v>
      </c>
      <c r="J2" s="1" t="s">
        <v>8</v>
      </c>
      <c r="L2" s="1" t="s">
        <v>9</v>
      </c>
      <c r="N2" s="1" t="s">
        <v>8</v>
      </c>
      <c r="P2" s="1" t="s">
        <v>9</v>
      </c>
    </row>
    <row r="3">
      <c r="A3" s="2" t="s">
        <v>10</v>
      </c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1" t="s">
        <v>4</v>
      </c>
      <c r="I3" s="1" t="s">
        <v>5</v>
      </c>
      <c r="J3" s="1" t="s">
        <v>4</v>
      </c>
      <c r="K3" s="1" t="s">
        <v>5</v>
      </c>
      <c r="L3" s="1" t="s">
        <v>4</v>
      </c>
      <c r="M3" s="1" t="s">
        <v>5</v>
      </c>
      <c r="N3" s="1" t="s">
        <v>4</v>
      </c>
      <c r="O3" s="1" t="s">
        <v>5</v>
      </c>
      <c r="P3" s="1" t="s">
        <v>4</v>
      </c>
      <c r="Q3" s="1" t="s">
        <v>5</v>
      </c>
    </row>
    <row r="4">
      <c r="A4" s="3">
        <v>1.0</v>
      </c>
      <c r="B4" s="3">
        <v>0.6505</v>
      </c>
      <c r="C4" s="3">
        <v>0.6373</v>
      </c>
      <c r="D4" s="3">
        <v>0.6512</v>
      </c>
      <c r="E4" s="3">
        <v>0.6379</v>
      </c>
      <c r="F4" s="3">
        <v>0.5731</v>
      </c>
      <c r="G4" s="3">
        <v>0.544</v>
      </c>
      <c r="H4" s="3">
        <v>0.5741</v>
      </c>
      <c r="I4" s="3">
        <v>0.5467</v>
      </c>
      <c r="J4" s="3">
        <v>0.5674</v>
      </c>
      <c r="K4" s="3">
        <v>0.5374</v>
      </c>
      <c r="L4" s="3">
        <v>0.5589</v>
      </c>
      <c r="M4" s="3">
        <v>0.5319</v>
      </c>
      <c r="N4" s="2">
        <f>0.9063</f>
        <v>0.9063</v>
      </c>
      <c r="O4" s="2">
        <f>0.9083</f>
        <v>0.9083</v>
      </c>
      <c r="P4" s="2">
        <f>0.9063</f>
        <v>0.9063</v>
      </c>
      <c r="Q4" s="2">
        <f>0.9075</f>
        <v>0.9075</v>
      </c>
    </row>
    <row r="5">
      <c r="A5" s="3">
        <v>2.0</v>
      </c>
      <c r="B5" s="3">
        <v>0.6505</v>
      </c>
      <c r="C5" s="3">
        <v>0.6375</v>
      </c>
      <c r="D5" s="3">
        <v>0.6508</v>
      </c>
      <c r="E5" s="3">
        <v>0.6381</v>
      </c>
      <c r="F5" s="3">
        <v>0.5769</v>
      </c>
      <c r="G5" s="3">
        <v>0.5469</v>
      </c>
      <c r="H5" s="3">
        <v>0.5762</v>
      </c>
      <c r="I5" s="3">
        <v>0.5461</v>
      </c>
      <c r="J5" s="3">
        <v>0.5738</v>
      </c>
      <c r="K5" s="3">
        <v>0.5406</v>
      </c>
      <c r="L5" s="3">
        <v>0.5701</v>
      </c>
      <c r="M5" s="3">
        <v>0.5385</v>
      </c>
      <c r="N5" s="2">
        <f>0.9013</f>
        <v>0.9013</v>
      </c>
      <c r="O5" s="2">
        <f>0.903</f>
        <v>0.903</v>
      </c>
      <c r="P5" s="2">
        <f>0.906</f>
        <v>0.906</v>
      </c>
      <c r="Q5" s="2">
        <f>0.9082</f>
        <v>0.9082</v>
      </c>
    </row>
    <row r="6">
      <c r="A6" s="3">
        <v>3.0</v>
      </c>
      <c r="B6" s="3">
        <v>0.6505</v>
      </c>
      <c r="C6" s="3">
        <v>0.6374</v>
      </c>
      <c r="D6" s="3">
        <v>0.6505</v>
      </c>
      <c r="E6" s="3">
        <v>0.6374</v>
      </c>
      <c r="F6" s="3">
        <v>0.5786</v>
      </c>
      <c r="G6" s="3">
        <v>0.5488</v>
      </c>
      <c r="H6" s="3">
        <v>0.5786</v>
      </c>
      <c r="I6" s="3">
        <v>0.5488</v>
      </c>
      <c r="J6" s="3">
        <v>0.5752</v>
      </c>
      <c r="K6" s="3">
        <v>0.5424</v>
      </c>
      <c r="L6" s="3">
        <v>0.5748</v>
      </c>
      <c r="M6" s="3">
        <v>0.5421</v>
      </c>
      <c r="N6" s="2">
        <f>0.9087</f>
        <v>0.9087</v>
      </c>
      <c r="O6" s="2">
        <f>0.9094</f>
        <v>0.9094</v>
      </c>
      <c r="P6" s="2">
        <f>0.8992</f>
        <v>0.8992</v>
      </c>
      <c r="Q6" s="2">
        <f>0.9017</f>
        <v>0.9017</v>
      </c>
    </row>
    <row r="7">
      <c r="A7" s="3">
        <v>4.0</v>
      </c>
      <c r="B7" s="3">
        <v>0.6505</v>
      </c>
      <c r="C7" s="3">
        <v>0.6374</v>
      </c>
      <c r="D7" s="3">
        <v>0.6505</v>
      </c>
      <c r="E7" s="3">
        <v>0.637</v>
      </c>
      <c r="F7" s="3">
        <v>0.5789</v>
      </c>
      <c r="G7" s="3">
        <v>0.5491</v>
      </c>
      <c r="H7" s="3">
        <v>0.5789</v>
      </c>
      <c r="I7" s="3">
        <v>0.5491</v>
      </c>
      <c r="J7" s="3">
        <v>0.5752</v>
      </c>
      <c r="K7" s="3">
        <v>0.5423</v>
      </c>
      <c r="L7" s="3">
        <v>0.5745</v>
      </c>
      <c r="M7" s="3">
        <v>0.5415</v>
      </c>
      <c r="N7" s="2">
        <f>0.9006</f>
        <v>0.9006</v>
      </c>
      <c r="O7" s="2">
        <f>0.9025</f>
        <v>0.9025</v>
      </c>
      <c r="P7" s="2">
        <f>0.9141</f>
        <v>0.9141</v>
      </c>
      <c r="Q7" s="2">
        <f>0.915</f>
        <v>0.915</v>
      </c>
    </row>
  </sheetData>
  <mergeCells count="12">
    <mergeCell ref="H2:I2"/>
    <mergeCell ref="J2:K2"/>
    <mergeCell ref="L2:M2"/>
    <mergeCell ref="N2:O2"/>
    <mergeCell ref="B1:E1"/>
    <mergeCell ref="F1:I1"/>
    <mergeCell ref="J1:M1"/>
    <mergeCell ref="N1:Q1"/>
    <mergeCell ref="B2:C2"/>
    <mergeCell ref="D2:E2"/>
    <mergeCell ref="F2:G2"/>
    <mergeCell ref="P2:Q2"/>
  </mergeCells>
  <drawing r:id="rId1"/>
</worksheet>
</file>